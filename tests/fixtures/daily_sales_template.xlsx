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to/Desktop/"/>
    </mc:Choice>
  </mc:AlternateContent>
  <xr:revisionPtr revIDLastSave="0" documentId="13_ncr:1_{70615C52-2019-EB41-861D-703F091FAFB5}" xr6:coauthVersionLast="47" xr6:coauthVersionMax="47" xr10:uidLastSave="{00000000-0000-0000-0000-000000000000}"/>
  <bookViews>
    <workbookView xWindow="0" yWindow="600" windowWidth="23260" windowHeight="12720" xr2:uid="{00000000-000D-0000-FFFF-FFFF00000000}"/>
  </bookViews>
  <sheets>
    <sheet name="月次日別売上管理表" sheetId="1" r:id="rId1"/>
    <sheet name="店舗キー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F9" i="1"/>
  <c r="F7" i="1"/>
  <c r="F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6" i="1"/>
  <c r="C3" i="1"/>
  <c r="C38" i="1"/>
  <c r="D38" i="1"/>
  <c r="E38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6" i="1"/>
  <c r="F38" i="1" l="1"/>
</calcChain>
</file>

<file path=xl/sharedStrings.xml><?xml version="1.0" encoding="utf-8"?>
<sst xmlns="http://schemas.openxmlformats.org/spreadsheetml/2006/main" count="62" uniqueCount="61">
  <si>
    <t>日付</t>
  </si>
  <si>
    <t>客数</t>
  </si>
  <si>
    <t>客単価</t>
  </si>
  <si>
    <t>組数</t>
  </si>
  <si>
    <t>合計</t>
  </si>
  <si>
    <t>消費税</t>
    <rPh sb="0" eb="3">
      <t>ショウヒゼイ</t>
    </rPh>
    <phoneticPr fontId="2"/>
  </si>
  <si>
    <t>対象期間：</t>
    <phoneticPr fontId="2"/>
  </si>
  <si>
    <t>対象店舗：</t>
    <phoneticPr fontId="2"/>
  </si>
  <si>
    <r>
      <rPr>
        <sz val="11"/>
        <rFont val="MS Gothic"/>
        <family val="2"/>
        <charset val="128"/>
      </rPr>
      <t>総売上</t>
    </r>
    <r>
      <rPr>
        <sz val="11"/>
        <rFont val="Calibri"/>
        <family val="2"/>
      </rPr>
      <t>(</t>
    </r>
    <r>
      <rPr>
        <sz val="11"/>
        <rFont val="MS Gothic"/>
        <family val="2"/>
        <charset val="128"/>
      </rPr>
      <t>税込）</t>
    </r>
    <rPh sb="4" eb="6">
      <t>ゼイコミ</t>
    </rPh>
    <phoneticPr fontId="2"/>
  </si>
  <si>
    <t>日別売上管理表</t>
    <phoneticPr fontId="2"/>
  </si>
  <si>
    <t>←西暦と月を６桁で入力</t>
    <rPh sb="1" eb="3">
      <t>セイレキ</t>
    </rPh>
    <phoneticPr fontId="2"/>
  </si>
  <si>
    <t>#</t>
  </si>
  <si>
    <t>店舗名</t>
  </si>
  <si>
    <t>店舗キー</t>
  </si>
  <si>
    <t>マルゴ</t>
  </si>
  <si>
    <t>marugo</t>
  </si>
  <si>
    <t>マルゴ セカンド</t>
  </si>
  <si>
    <t>marugosecond</t>
  </si>
  <si>
    <t>マルゴ グランデ</t>
  </si>
  <si>
    <t>marugogrande</t>
  </si>
  <si>
    <t>サンナナイチ バル</t>
  </si>
  <si>
    <t>sannanaichi</t>
  </si>
  <si>
    <t>シェンロン&amp;クラウディア</t>
  </si>
  <si>
    <t>shenlong</t>
  </si>
  <si>
    <t>クラウディア2</t>
  </si>
  <si>
    <t>claudia2</t>
  </si>
  <si>
    <t>ソバージュ</t>
  </si>
  <si>
    <t>sauvage</t>
  </si>
  <si>
    <t>バルぺロタ</t>
  </si>
  <si>
    <t>barpelota</t>
  </si>
  <si>
    <t>トラットリア ブリッコラ</t>
  </si>
  <si>
    <t>briccola</t>
  </si>
  <si>
    <t>ヴィオレット</t>
  </si>
  <si>
    <t>violette</t>
  </si>
  <si>
    <t>マルゴ オット</t>
  </si>
  <si>
    <t>marugootto</t>
  </si>
  <si>
    <t>元祖どないや 新宿三丁目店</t>
  </si>
  <si>
    <t>donaiya</t>
  </si>
  <si>
    <t>マルゴ 四谷</t>
  </si>
  <si>
    <t>marugoyotsuya</t>
  </si>
  <si>
    <t>鮨こるり</t>
  </si>
  <si>
    <t>sushikoruri</t>
  </si>
  <si>
    <t>ビストロ サヴァサヴァ</t>
  </si>
  <si>
    <t>bistrocavacava</t>
  </si>
  <si>
    <t>マルゴエス</t>
  </si>
  <si>
    <t>marugoS</t>
  </si>
  <si>
    <t>マルゴ 新橋</t>
  </si>
  <si>
    <t>marugoshinbashi</t>
  </si>
  <si>
    <t>マルゴ丸の内</t>
  </si>
  <si>
    <t>marugomarunouchi</t>
  </si>
  <si>
    <t>焼肉マルゴ</t>
  </si>
  <si>
    <t>yakinikumarugo</t>
  </si>
  <si>
    <t>エリックスバイエリックトロション</t>
  </si>
  <si>
    <t>erics</t>
  </si>
  <si>
    <t>ミタン</t>
  </si>
  <si>
    <t>mitan</t>
  </si>
  <si>
    <t>マルゴ D</t>
  </si>
  <si>
    <t>marugoD</t>
  </si>
  <si>
    <t>店舗名をリストから選択すると自動的に店舗キーが挿入されます</t>
    <phoneticPr fontId="2"/>
  </si>
  <si>
    <t>日別の売上でなく総額を一括で登録する場合は１日に入力で一括登録できます</t>
    <rPh sb="0" eb="2">
      <t>ヒベテゥ</t>
    </rPh>
    <rPh sb="3" eb="5">
      <t>ウリアゲ</t>
    </rPh>
    <rPh sb="11" eb="13">
      <t>ソウガク</t>
    </rPh>
    <rPh sb="24" eb="26">
      <t>ニュウリョク</t>
    </rPh>
    <rPh sb="27" eb="31">
      <t>イッカテゥ</t>
    </rPh>
    <phoneticPr fontId="2"/>
  </si>
  <si>
    <t>合計だけ入力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</si>
</sst>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游ゴシック"/>
      <family val="2"/>
      <scheme val="minor"/>
    </font>
    <font>
      <sz val="11"/>
      <color indexed="9"/>
      <name val="Calibri"/>
      <family val="2"/>
    </font>
    <font>
      <sz val="6"/>
      <name val="游ゴシック"/>
      <family val="3"/>
      <charset val="128"/>
      <scheme val="minor"/>
    </font>
    <font>
      <sz val="11"/>
      <name val="Calibri"/>
      <family val="2"/>
    </font>
    <font>
      <sz val="11"/>
      <name val="Calibri"/>
      <family val="2"/>
      <charset val="128"/>
    </font>
    <font>
      <sz val="11"/>
      <name val="MS Gothic"/>
      <family val="2"/>
      <charset val="128"/>
    </font>
    <font>
      <sz val="11"/>
      <color rgb="FFC00000"/>
      <name val="游ゴシック"/>
      <family val="2"/>
      <scheme val="minor"/>
    </font>
    <font>
      <sz val="11"/>
      <color rgb="FFC00000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8"/>
      <color rgb="FFC00000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b/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3" fillId="3" borderId="2" xfId="0" applyFont="1" applyFill="1" applyBorder="1" applyAlignment="1">
      <alignment vertical="center" shrinkToFit="1"/>
    </xf>
    <xf numFmtId="0" fontId="5" fillId="3" borderId="2" xfId="0" applyFont="1" applyFill="1" applyBorder="1" applyAlignment="1">
      <alignment vertical="center" shrinkToFit="1"/>
    </xf>
    <xf numFmtId="0" fontId="4" fillId="3" borderId="2" xfId="0" applyFont="1" applyFill="1" applyBorder="1" applyAlignment="1">
      <alignment vertical="center" shrinkToFit="1"/>
    </xf>
    <xf numFmtId="0" fontId="8" fillId="0" borderId="3" xfId="0" applyFont="1" applyBorder="1">
      <alignment vertical="center"/>
    </xf>
    <xf numFmtId="0" fontId="0" fillId="0" borderId="3" xfId="0" applyBorder="1">
      <alignment vertical="center"/>
    </xf>
    <xf numFmtId="0" fontId="7" fillId="0" borderId="0" xfId="0" applyFont="1" applyAlignment="1">
      <alignment vertical="center" shrinkToFit="1"/>
    </xf>
    <xf numFmtId="0" fontId="0" fillId="0" borderId="1" xfId="0" applyBorder="1" applyAlignment="1" applyProtection="1">
      <alignment horizontal="right" shrinkToFit="1"/>
      <protection locked="0"/>
    </xf>
    <xf numFmtId="0" fontId="9" fillId="0" borderId="0" xfId="0" applyFont="1" applyAlignment="1">
      <alignment vertical="center" shrinkToFit="1"/>
    </xf>
    <xf numFmtId="0" fontId="0" fillId="4" borderId="3" xfId="0" applyFill="1" applyBorder="1" applyAlignment="1" applyProtection="1">
      <alignment horizontal="left" vertical="center" shrinkToFit="1"/>
      <protection locked="0"/>
    </xf>
    <xf numFmtId="0" fontId="0" fillId="4" borderId="3" xfId="0" applyFill="1" applyBorder="1" applyAlignment="1" applyProtection="1">
      <alignment vertical="center" shrinkToFit="1"/>
      <protection locked="0"/>
    </xf>
    <xf numFmtId="14" fontId="0" fillId="0" borderId="1" xfId="0" applyNumberFormat="1" applyBorder="1" applyAlignment="1" applyProtection="1">
      <alignment horizontal="left" shrinkToFit="1"/>
      <protection hidden="1"/>
    </xf>
    <xf numFmtId="0" fontId="0" fillId="5" borderId="1" xfId="0" applyFill="1" applyBorder="1" applyAlignment="1" applyProtection="1">
      <alignment horizontal="right" shrinkToFit="1"/>
      <protection hidden="1"/>
    </xf>
    <xf numFmtId="0" fontId="11" fillId="0" borderId="0" xfId="0" applyFont="1" applyAlignment="1" applyProtection="1">
      <alignment vertical="center" shrinkToFit="1"/>
      <protection hidden="1"/>
    </xf>
    <xf numFmtId="14" fontId="12" fillId="0" borderId="1" xfId="0" applyNumberFormat="1" applyFont="1" applyBorder="1" applyAlignment="1" applyProtection="1">
      <alignment horizontal="left" shrinkToFit="1"/>
      <protection hidden="1"/>
    </xf>
    <xf numFmtId="0" fontId="10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abSelected="1" topLeftCell="A30" zoomScale="117" zoomScaleNormal="117" workbookViewId="0">
      <selection activeCell="B37" sqref="B37"/>
    </sheetView>
  </sheetViews>
  <sheetFormatPr baseColWidth="10" defaultColWidth="8.83203125" defaultRowHeight="18"/>
  <cols>
    <col min="1" max="1" width="12" style="1" customWidth="1"/>
    <col min="2" max="2" width="13.6640625" style="1" bestFit="1" customWidth="1"/>
    <col min="3" max="3" width="10" style="1" bestFit="1" customWidth="1"/>
    <col min="4" max="4" width="6.1640625" style="1" bestFit="1" customWidth="1"/>
    <col min="5" max="5" width="5" style="1" bestFit="1" customWidth="1"/>
    <col min="6" max="6" width="7.33203125" style="1" bestFit="1" customWidth="1"/>
    <col min="7" max="8" width="8.83203125" style="1"/>
    <col min="9" max="9" width="33.5" style="1" bestFit="1" customWidth="1"/>
    <col min="10" max="10" width="18.5" style="1" bestFit="1" customWidth="1"/>
    <col min="11" max="16384" width="8.83203125" style="1"/>
  </cols>
  <sheetData>
    <row r="1" spans="1:9">
      <c r="A1" s="1" t="s">
        <v>9</v>
      </c>
      <c r="B1" s="21" t="s">
        <v>59</v>
      </c>
      <c r="C1" s="21"/>
      <c r="D1" s="21"/>
      <c r="E1" s="21"/>
      <c r="F1" s="21"/>
    </row>
    <row r="2" spans="1:9">
      <c r="A2" s="1" t="s">
        <v>6</v>
      </c>
      <c r="B2" s="12">
        <v>202507</v>
      </c>
      <c r="C2" s="18" t="s">
        <v>10</v>
      </c>
      <c r="D2" s="18"/>
      <c r="E2" s="18"/>
      <c r="F2" s="18"/>
    </row>
    <row r="3" spans="1:9">
      <c r="A3" s="1" t="s">
        <v>7</v>
      </c>
      <c r="B3" s="13" t="s">
        <v>14</v>
      </c>
      <c r="C3" s="16" t="str">
        <f>IFERROR(VLOOKUP(B3,店舗キー!$C$3:$D$24,2,FALSE),"")</f>
        <v>marugo</v>
      </c>
      <c r="D3" s="19"/>
      <c r="E3" s="19"/>
      <c r="F3" s="19"/>
      <c r="G3" s="9"/>
    </row>
    <row r="4" spans="1:9">
      <c r="B4" s="20" t="s">
        <v>58</v>
      </c>
      <c r="C4" s="20"/>
      <c r="D4" s="20"/>
      <c r="E4" s="20"/>
      <c r="F4" s="20"/>
      <c r="G4" s="11"/>
      <c r="H4" s="11"/>
      <c r="I4" s="11"/>
    </row>
    <row r="5" spans="1:9">
      <c r="A5" s="4" t="s">
        <v>0</v>
      </c>
      <c r="B5" s="6" t="s">
        <v>8</v>
      </c>
      <c r="C5" s="5" t="s">
        <v>5</v>
      </c>
      <c r="D5" s="4" t="s">
        <v>1</v>
      </c>
      <c r="E5" s="4" t="s">
        <v>3</v>
      </c>
      <c r="F5" s="4" t="s">
        <v>2</v>
      </c>
    </row>
    <row r="6" spans="1:9">
      <c r="A6" s="14">
        <f>IF(DATE(INT($B$2/100),MOD($B$2,100),1)+(ROW()-6)&lt;=EOMONTH(DATE(INT($B$2/100),MOD($B$2,100),1),0),DATE(INT($B$2/100),MOD($B$2,100),1)+(ROW()-6),"")</f>
        <v>45839</v>
      </c>
      <c r="B6" s="10"/>
      <c r="C6" s="10"/>
      <c r="D6" s="10"/>
      <c r="E6" s="10"/>
      <c r="F6" s="15" t="str">
        <f>IF(AND(B6&gt;0,D6&gt;0),B6/D6,"")</f>
        <v/>
      </c>
    </row>
    <row r="7" spans="1:9">
      <c r="A7" s="14">
        <f t="shared" ref="A7:A36" si="0">IF(DATE(INT($B$2/100),MOD($B$2,100),1)+(ROW()-6)&lt;=EOMONTH(DATE(INT($B$2/100),MOD($B$2,100),1),0),DATE(INT($B$2/100),MOD($B$2,100),1)+(ROW()-6),"")</f>
        <v>45840</v>
      </c>
      <c r="B7" s="10"/>
      <c r="C7" s="10"/>
      <c r="D7" s="10"/>
      <c r="E7" s="10"/>
      <c r="F7" s="15" t="str">
        <f t="shared" ref="F7:F36" si="1">IF(AND(B7&gt;0,D7&gt;0),B7/D7,"")</f>
        <v/>
      </c>
    </row>
    <row r="8" spans="1:9">
      <c r="A8" s="14">
        <f t="shared" si="0"/>
        <v>45841</v>
      </c>
      <c r="B8" s="10"/>
      <c r="C8" s="10"/>
      <c r="D8" s="10"/>
      <c r="E8" s="10"/>
      <c r="F8" s="15" t="str">
        <f t="shared" si="1"/>
        <v/>
      </c>
    </row>
    <row r="9" spans="1:9">
      <c r="A9" s="14">
        <f t="shared" si="0"/>
        <v>45842</v>
      </c>
      <c r="B9" s="10"/>
      <c r="C9" s="10"/>
      <c r="D9" s="10"/>
      <c r="E9" s="10"/>
      <c r="F9" s="15" t="str">
        <f t="shared" si="1"/>
        <v/>
      </c>
    </row>
    <row r="10" spans="1:9">
      <c r="A10" s="14">
        <f t="shared" si="0"/>
        <v>45843</v>
      </c>
      <c r="B10" s="10"/>
      <c r="C10" s="10"/>
      <c r="D10" s="10"/>
      <c r="E10" s="10"/>
      <c r="F10" s="15" t="str">
        <f t="shared" si="1"/>
        <v/>
      </c>
    </row>
    <row r="11" spans="1:9">
      <c r="A11" s="14">
        <f t="shared" si="0"/>
        <v>45844</v>
      </c>
      <c r="B11" s="10"/>
      <c r="C11" s="10"/>
      <c r="D11" s="10"/>
      <c r="E11" s="10"/>
      <c r="F11" s="15" t="str">
        <f t="shared" si="1"/>
        <v/>
      </c>
    </row>
    <row r="12" spans="1:9">
      <c r="A12" s="14">
        <f t="shared" si="0"/>
        <v>45845</v>
      </c>
      <c r="B12" s="10"/>
      <c r="C12" s="10"/>
      <c r="D12" s="10"/>
      <c r="E12" s="10"/>
      <c r="F12" s="15" t="str">
        <f t="shared" si="1"/>
        <v/>
      </c>
    </row>
    <row r="13" spans="1:9">
      <c r="A13" s="14">
        <f t="shared" si="0"/>
        <v>45846</v>
      </c>
      <c r="B13" s="10"/>
      <c r="C13" s="10"/>
      <c r="D13" s="10"/>
      <c r="E13" s="10"/>
      <c r="F13" s="15" t="str">
        <f t="shared" si="1"/>
        <v/>
      </c>
    </row>
    <row r="14" spans="1:9">
      <c r="A14" s="14">
        <f t="shared" si="0"/>
        <v>45847</v>
      </c>
      <c r="B14" s="10"/>
      <c r="C14" s="10"/>
      <c r="D14" s="10"/>
      <c r="E14" s="10"/>
      <c r="F14" s="15" t="str">
        <f t="shared" si="1"/>
        <v/>
      </c>
    </row>
    <row r="15" spans="1:9">
      <c r="A15" s="14">
        <f t="shared" si="0"/>
        <v>45848</v>
      </c>
      <c r="B15" s="10"/>
      <c r="C15" s="10"/>
      <c r="D15" s="10"/>
      <c r="E15" s="10"/>
      <c r="F15" s="15" t="str">
        <f t="shared" si="1"/>
        <v/>
      </c>
    </row>
    <row r="16" spans="1:9">
      <c r="A16" s="14">
        <f t="shared" si="0"/>
        <v>45849</v>
      </c>
      <c r="B16" s="10"/>
      <c r="C16" s="10"/>
      <c r="D16" s="10"/>
      <c r="E16" s="10"/>
      <c r="F16" s="15" t="str">
        <f t="shared" si="1"/>
        <v/>
      </c>
    </row>
    <row r="17" spans="1:6">
      <c r="A17" s="14">
        <f t="shared" si="0"/>
        <v>45850</v>
      </c>
      <c r="B17" s="10"/>
      <c r="C17" s="10"/>
      <c r="D17" s="10"/>
      <c r="E17" s="10"/>
      <c r="F17" s="15" t="str">
        <f t="shared" si="1"/>
        <v/>
      </c>
    </row>
    <row r="18" spans="1:6">
      <c r="A18" s="14">
        <f t="shared" si="0"/>
        <v>45851</v>
      </c>
      <c r="B18" s="10"/>
      <c r="C18" s="10"/>
      <c r="D18" s="10"/>
      <c r="E18" s="10"/>
      <c r="F18" s="15" t="str">
        <f t="shared" si="1"/>
        <v/>
      </c>
    </row>
    <row r="19" spans="1:6">
      <c r="A19" s="14">
        <f t="shared" si="0"/>
        <v>45852</v>
      </c>
      <c r="B19" s="10"/>
      <c r="C19" s="10"/>
      <c r="D19" s="10"/>
      <c r="E19" s="10"/>
      <c r="F19" s="15" t="str">
        <f t="shared" si="1"/>
        <v/>
      </c>
    </row>
    <row r="20" spans="1:6">
      <c r="A20" s="14">
        <f t="shared" si="0"/>
        <v>45853</v>
      </c>
      <c r="B20" s="10"/>
      <c r="C20" s="10"/>
      <c r="D20" s="10"/>
      <c r="E20" s="10"/>
      <c r="F20" s="15" t="str">
        <f t="shared" si="1"/>
        <v/>
      </c>
    </row>
    <row r="21" spans="1:6">
      <c r="A21" s="14">
        <f t="shared" si="0"/>
        <v>45854</v>
      </c>
      <c r="B21" s="10"/>
      <c r="C21" s="10"/>
      <c r="D21" s="10"/>
      <c r="E21" s="10"/>
      <c r="F21" s="15" t="str">
        <f t="shared" si="1"/>
        <v/>
      </c>
    </row>
    <row r="22" spans="1:6">
      <c r="A22" s="14">
        <f t="shared" si="0"/>
        <v>45855</v>
      </c>
      <c r="B22" s="10"/>
      <c r="C22" s="10"/>
      <c r="D22" s="10"/>
      <c r="E22" s="10"/>
      <c r="F22" s="15" t="str">
        <f t="shared" si="1"/>
        <v/>
      </c>
    </row>
    <row r="23" spans="1:6">
      <c r="A23" s="14">
        <f t="shared" si="0"/>
        <v>45856</v>
      </c>
      <c r="B23" s="10"/>
      <c r="C23" s="10"/>
      <c r="D23" s="10"/>
      <c r="E23" s="10"/>
      <c r="F23" s="15" t="str">
        <f t="shared" si="1"/>
        <v/>
      </c>
    </row>
    <row r="24" spans="1:6">
      <c r="A24" s="14">
        <f t="shared" si="0"/>
        <v>45857</v>
      </c>
      <c r="B24" s="10"/>
      <c r="C24" s="10"/>
      <c r="D24" s="10"/>
      <c r="E24" s="10"/>
      <c r="F24" s="15" t="str">
        <f t="shared" si="1"/>
        <v/>
      </c>
    </row>
    <row r="25" spans="1:6">
      <c r="A25" s="14">
        <f t="shared" si="0"/>
        <v>45858</v>
      </c>
      <c r="B25" s="10"/>
      <c r="C25" s="10"/>
      <c r="D25" s="10"/>
      <c r="E25" s="10"/>
      <c r="F25" s="15" t="str">
        <f t="shared" si="1"/>
        <v/>
      </c>
    </row>
    <row r="26" spans="1:6">
      <c r="A26" s="14">
        <f t="shared" si="0"/>
        <v>45859</v>
      </c>
      <c r="B26" s="10"/>
      <c r="C26" s="10"/>
      <c r="D26" s="10"/>
      <c r="E26" s="10"/>
      <c r="F26" s="15" t="str">
        <f t="shared" si="1"/>
        <v/>
      </c>
    </row>
    <row r="27" spans="1:6">
      <c r="A27" s="14">
        <f t="shared" si="0"/>
        <v>45860</v>
      </c>
      <c r="B27" s="10"/>
      <c r="C27" s="10"/>
      <c r="D27" s="10"/>
      <c r="E27" s="10"/>
      <c r="F27" s="15" t="str">
        <f t="shared" si="1"/>
        <v/>
      </c>
    </row>
    <row r="28" spans="1:6">
      <c r="A28" s="14">
        <f t="shared" si="0"/>
        <v>45861</v>
      </c>
      <c r="B28" s="10"/>
      <c r="C28" s="10"/>
      <c r="D28" s="10"/>
      <c r="E28" s="10"/>
      <c r="F28" s="15" t="str">
        <f t="shared" si="1"/>
        <v/>
      </c>
    </row>
    <row r="29" spans="1:6">
      <c r="A29" s="14">
        <f t="shared" si="0"/>
        <v>45862</v>
      </c>
      <c r="B29" s="10"/>
      <c r="C29" s="10"/>
      <c r="D29" s="10"/>
      <c r="E29" s="10"/>
      <c r="F29" s="15" t="str">
        <f t="shared" si="1"/>
        <v/>
      </c>
    </row>
    <row r="30" spans="1:6">
      <c r="A30" s="14">
        <f t="shared" si="0"/>
        <v>45863</v>
      </c>
      <c r="B30" s="10"/>
      <c r="C30" s="10"/>
      <c r="D30" s="10"/>
      <c r="E30" s="10"/>
      <c r="F30" s="15" t="str">
        <f t="shared" si="1"/>
        <v/>
      </c>
    </row>
    <row r="31" spans="1:6">
      <c r="A31" s="14">
        <f t="shared" si="0"/>
        <v>45864</v>
      </c>
      <c r="B31" s="10"/>
      <c r="C31" s="10"/>
      <c r="D31" s="10"/>
      <c r="E31" s="10"/>
      <c r="F31" s="15" t="str">
        <f t="shared" si="1"/>
        <v/>
      </c>
    </row>
    <row r="32" spans="1:6">
      <c r="A32" s="14">
        <f t="shared" si="0"/>
        <v>45865</v>
      </c>
      <c r="B32" s="10"/>
      <c r="C32" s="10"/>
      <c r="D32" s="10"/>
      <c r="E32" s="10"/>
      <c r="F32" s="15" t="str">
        <f t="shared" si="1"/>
        <v/>
      </c>
    </row>
    <row r="33" spans="1:6">
      <c r="A33" s="14">
        <f t="shared" si="0"/>
        <v>45866</v>
      </c>
      <c r="B33" s="10"/>
      <c r="C33" s="10"/>
      <c r="D33" s="10"/>
      <c r="E33" s="10"/>
      <c r="F33" s="15" t="str">
        <f t="shared" si="1"/>
        <v/>
      </c>
    </row>
    <row r="34" spans="1:6">
      <c r="A34" s="14">
        <f t="shared" si="0"/>
        <v>45867</v>
      </c>
      <c r="B34" s="10"/>
      <c r="C34" s="10"/>
      <c r="D34" s="10"/>
      <c r="E34" s="10"/>
      <c r="F34" s="15" t="str">
        <f t="shared" si="1"/>
        <v/>
      </c>
    </row>
    <row r="35" spans="1:6">
      <c r="A35" s="14">
        <f t="shared" si="0"/>
        <v>45868</v>
      </c>
      <c r="B35" s="10"/>
      <c r="C35" s="10"/>
      <c r="D35" s="10"/>
      <c r="E35" s="10"/>
      <c r="F35" s="15" t="str">
        <f t="shared" si="1"/>
        <v/>
      </c>
    </row>
    <row r="36" spans="1:6">
      <c r="A36" s="14">
        <f t="shared" si="0"/>
        <v>45869</v>
      </c>
      <c r="B36" s="10"/>
      <c r="C36" s="10"/>
      <c r="D36" s="10"/>
      <c r="E36" s="10"/>
      <c r="F36" s="15" t="str">
        <f t="shared" si="1"/>
        <v/>
      </c>
    </row>
    <row r="37" spans="1:6">
      <c r="A37" s="17" t="s">
        <v>60</v>
      </c>
      <c r="B37" s="10"/>
      <c r="C37" s="10"/>
      <c r="D37" s="10"/>
      <c r="E37" s="10"/>
      <c r="F37" s="15"/>
    </row>
    <row r="38" spans="1:6">
      <c r="A38" s="2" t="s">
        <v>4</v>
      </c>
      <c r="B38" s="3">
        <f>SUM(B6:B37)</f>
        <v>0</v>
      </c>
      <c r="C38" s="3">
        <f t="shared" ref="C38:E38" si="2">SUM(C6:C36)</f>
        <v>0</v>
      </c>
      <c r="D38" s="3">
        <f t="shared" si="2"/>
        <v>0</v>
      </c>
      <c r="E38" s="3">
        <f t="shared" si="2"/>
        <v>0</v>
      </c>
      <c r="F38" s="3" t="str">
        <f>IF(SUM(F6:F36)&gt;0,AVERAGE(F6:F36),"0")</f>
        <v>0</v>
      </c>
    </row>
  </sheetData>
  <sheetProtection sheet="1" objects="1" scenarios="1"/>
  <mergeCells count="4">
    <mergeCell ref="C2:F2"/>
    <mergeCell ref="D3:F3"/>
    <mergeCell ref="B4:F4"/>
    <mergeCell ref="B1:F1"/>
  </mergeCells>
  <phoneticPr fontId="2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AE936B-8A2E-AF4F-92C2-E6E3AF9B6C6B}">
          <x14:formula1>
            <xm:f>店舗キー!$C$3:$C$24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9948-C9AA-1B4C-BCE9-08C528368402}">
  <dimension ref="B2:D24"/>
  <sheetViews>
    <sheetView zoomScale="206" workbookViewId="0">
      <selection activeCell="C68" sqref="C68"/>
    </sheetView>
  </sheetViews>
  <sheetFormatPr baseColWidth="10" defaultColWidth="11.1640625" defaultRowHeight="18"/>
  <cols>
    <col min="3" max="3" width="33.5" bestFit="1" customWidth="1"/>
    <col min="4" max="4" width="18.5" bestFit="1" customWidth="1"/>
  </cols>
  <sheetData>
    <row r="2" spans="2:4">
      <c r="B2" s="7" t="s">
        <v>11</v>
      </c>
      <c r="C2" s="7" t="s">
        <v>12</v>
      </c>
      <c r="D2" s="7" t="s">
        <v>13</v>
      </c>
    </row>
    <row r="3" spans="2:4">
      <c r="B3" s="8">
        <v>1</v>
      </c>
      <c r="C3" s="8" t="s">
        <v>14</v>
      </c>
      <c r="D3" s="8" t="s">
        <v>15</v>
      </c>
    </row>
    <row r="4" spans="2:4">
      <c r="B4" s="8">
        <v>2</v>
      </c>
      <c r="C4" s="8" t="s">
        <v>16</v>
      </c>
      <c r="D4" s="8" t="s">
        <v>17</v>
      </c>
    </row>
    <row r="5" spans="2:4">
      <c r="B5" s="8">
        <v>3</v>
      </c>
      <c r="C5" s="8" t="s">
        <v>18</v>
      </c>
      <c r="D5" s="8" t="s">
        <v>19</v>
      </c>
    </row>
    <row r="6" spans="2:4">
      <c r="B6" s="8">
        <v>4</v>
      </c>
      <c r="C6" s="8" t="s">
        <v>20</v>
      </c>
      <c r="D6" s="8" t="s">
        <v>21</v>
      </c>
    </row>
    <row r="7" spans="2:4">
      <c r="B7" s="8">
        <v>5</v>
      </c>
      <c r="C7" s="8" t="s">
        <v>22</v>
      </c>
      <c r="D7" s="8" t="s">
        <v>23</v>
      </c>
    </row>
    <row r="8" spans="2:4">
      <c r="B8" s="8">
        <v>6</v>
      </c>
      <c r="C8" s="8" t="s">
        <v>24</v>
      </c>
      <c r="D8" s="8" t="s">
        <v>25</v>
      </c>
    </row>
    <row r="9" spans="2:4">
      <c r="B9" s="8">
        <v>7</v>
      </c>
      <c r="C9" s="8" t="s">
        <v>26</v>
      </c>
      <c r="D9" s="8" t="s">
        <v>27</v>
      </c>
    </row>
    <row r="10" spans="2:4">
      <c r="B10" s="8">
        <v>8</v>
      </c>
      <c r="C10" s="8" t="s">
        <v>28</v>
      </c>
      <c r="D10" s="8" t="s">
        <v>29</v>
      </c>
    </row>
    <row r="11" spans="2:4">
      <c r="B11" s="8">
        <v>9</v>
      </c>
      <c r="C11" s="8" t="s">
        <v>30</v>
      </c>
      <c r="D11" s="8" t="s">
        <v>31</v>
      </c>
    </row>
    <row r="12" spans="2:4">
      <c r="B12" s="8">
        <v>10</v>
      </c>
      <c r="C12" s="8" t="s">
        <v>32</v>
      </c>
      <c r="D12" s="8" t="s">
        <v>33</v>
      </c>
    </row>
    <row r="13" spans="2:4">
      <c r="B13" s="8">
        <v>11</v>
      </c>
      <c r="C13" s="8" t="s">
        <v>34</v>
      </c>
      <c r="D13" s="8" t="s">
        <v>35</v>
      </c>
    </row>
    <row r="14" spans="2:4">
      <c r="B14" s="8">
        <v>12</v>
      </c>
      <c r="C14" s="8" t="s">
        <v>36</v>
      </c>
      <c r="D14" s="8" t="s">
        <v>37</v>
      </c>
    </row>
    <row r="15" spans="2:4">
      <c r="B15" s="8">
        <v>13</v>
      </c>
      <c r="C15" s="8" t="s">
        <v>38</v>
      </c>
      <c r="D15" s="8" t="s">
        <v>39</v>
      </c>
    </row>
    <row r="16" spans="2:4">
      <c r="B16" s="8">
        <v>14</v>
      </c>
      <c r="C16" s="8" t="s">
        <v>40</v>
      </c>
      <c r="D16" s="8" t="s">
        <v>41</v>
      </c>
    </row>
    <row r="17" spans="2:4">
      <c r="B17" s="8">
        <v>15</v>
      </c>
      <c r="C17" s="8" t="s">
        <v>42</v>
      </c>
      <c r="D17" s="8" t="s">
        <v>43</v>
      </c>
    </row>
    <row r="18" spans="2:4">
      <c r="B18" s="8">
        <v>16</v>
      </c>
      <c r="C18" s="8" t="s">
        <v>44</v>
      </c>
      <c r="D18" s="8" t="s">
        <v>45</v>
      </c>
    </row>
    <row r="19" spans="2:4">
      <c r="B19" s="8">
        <v>17</v>
      </c>
      <c r="C19" s="8" t="s">
        <v>46</v>
      </c>
      <c r="D19" s="8" t="s">
        <v>47</v>
      </c>
    </row>
    <row r="20" spans="2:4">
      <c r="B20" s="8">
        <v>18</v>
      </c>
      <c r="C20" s="8" t="s">
        <v>48</v>
      </c>
      <c r="D20" s="8" t="s">
        <v>49</v>
      </c>
    </row>
    <row r="21" spans="2:4">
      <c r="B21" s="8">
        <v>19</v>
      </c>
      <c r="C21" s="8" t="s">
        <v>50</v>
      </c>
      <c r="D21" s="8" t="s">
        <v>51</v>
      </c>
    </row>
    <row r="22" spans="2:4">
      <c r="B22" s="8">
        <v>20</v>
      </c>
      <c r="C22" s="8" t="s">
        <v>52</v>
      </c>
      <c r="D22" s="8" t="s">
        <v>53</v>
      </c>
    </row>
    <row r="23" spans="2:4">
      <c r="B23" s="8">
        <v>21</v>
      </c>
      <c r="C23" s="8" t="s">
        <v>54</v>
      </c>
      <c r="D23" s="8" t="s">
        <v>55</v>
      </c>
    </row>
    <row r="24" spans="2:4">
      <c r="B24" s="8">
        <v>22</v>
      </c>
      <c r="C24" s="8" t="s">
        <v>56</v>
      </c>
      <c r="D24" s="8" t="s">
        <v>57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月次日別売上管理表</vt:lpstr>
      <vt:lpstr>店舗キー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2026-06-05T05:29:42Z</dcterms:created>
  <dcterms:modified xsi:type="dcterms:W3CDTF">2026-07-02T08:55:12Z</dcterms:modified>
</cp:coreProperties>
</file>